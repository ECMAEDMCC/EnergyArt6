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
    </mc:Choice>
  </mc:AlternateContent>
  <xr:revisionPtr revIDLastSave="0" documentId="13_ncr:1_{C884F2F6-6453-4310-8AB2-C6ED413E6C77}" xr6:coauthVersionLast="47" xr6:coauthVersionMax="47" xr10:uidLastSave="{00000000-0000-0000-0000-000000000000}"/>
  <bookViews>
    <workbookView xWindow="-19310" yWindow="-110" windowWidth="19420" windowHeight="10300" xr2:uid="{FBF0A343-96AE-463D-9FC0-50B2F76DF54E}"/>
  </bookViews>
  <sheets>
    <sheet name="INICIATIVA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<sst xmlns="http://schemas.openxmlformats.org/spreadsheetml/2006/main" count="371" uniqueCount="169">
  <si>
    <t>Código</t>
  </si>
  <si>
    <t>Nombre de la entidad u organismo responsable de la implementación</t>
  </si>
  <si>
    <t>EN01</t>
  </si>
  <si>
    <t>GAD Municipal de Cuenca</t>
  </si>
  <si>
    <t>EN02</t>
  </si>
  <si>
    <t>EN03</t>
  </si>
  <si>
    <t>Empresa Pública Metropolitana de Transporte de Pasajeros de Quito</t>
  </si>
  <si>
    <t>EN04</t>
  </si>
  <si>
    <t>Empresa Pública Metropolitana Metro de Quito</t>
  </si>
  <si>
    <t>EN05</t>
  </si>
  <si>
    <t>EN06</t>
  </si>
  <si>
    <t>Empresa Pública de Hidrocarburos del Ecuador</t>
  </si>
  <si>
    <t>EN07</t>
  </si>
  <si>
    <t>EN08</t>
  </si>
  <si>
    <t>Corporación Eléctrica del Ecuador</t>
  </si>
  <si>
    <t>EN10</t>
  </si>
  <si>
    <t>EN12</t>
  </si>
  <si>
    <t>EN13</t>
  </si>
  <si>
    <t>EN14</t>
  </si>
  <si>
    <t>EN15</t>
  </si>
  <si>
    <t>EN16</t>
  </si>
  <si>
    <t>EN17</t>
  </si>
  <si>
    <t>EN18</t>
  </si>
  <si>
    <t>EN19</t>
  </si>
  <si>
    <t>EN20</t>
  </si>
  <si>
    <t>EN21</t>
  </si>
  <si>
    <t>EN22</t>
  </si>
  <si>
    <t>EN23</t>
  </si>
  <si>
    <t>EN24</t>
  </si>
  <si>
    <t>Electro Generadora del Austro S.A.</t>
  </si>
  <si>
    <t>EN25</t>
  </si>
  <si>
    <t>EN26</t>
  </si>
  <si>
    <t>Empresa Eléctrica Provincial Galápagos ELECGALAPAGOS S.A.</t>
  </si>
  <si>
    <t>EN27</t>
  </si>
  <si>
    <t>E-QUATOR ENERGY S.A.</t>
  </si>
  <si>
    <t>EN28</t>
  </si>
  <si>
    <t>EN29</t>
  </si>
  <si>
    <t>EN31</t>
  </si>
  <si>
    <t>Ministerio de Infraestructura y Transporte</t>
  </si>
  <si>
    <t>EN32</t>
  </si>
  <si>
    <t>Sector</t>
  </si>
  <si>
    <t>Linea de acción</t>
  </si>
  <si>
    <t xml:space="preserve">Nombre de la iniciativa </t>
  </si>
  <si>
    <t xml:space="preserve">Energía </t>
  </si>
  <si>
    <t>3. Fomentar, implementar y desarrollar la movilidad sostenible para todos los tipos de transporte</t>
  </si>
  <si>
    <t>Operación Comercial del Tranvía de Cuenca</t>
  </si>
  <si>
    <t>Diseño, Construcción e Implementación de la línea 2 del Tranvía de Cuenca</t>
  </si>
  <si>
    <t xml:space="preserve">Modernización del Sistema de Transporte Público Metropolitano de Pasajeros de Quito a través de la Dotación de Trolebuses
</t>
  </si>
  <si>
    <t>Proyecto Primera Línea del Metro de Quito</t>
  </si>
  <si>
    <t>Proyecto Extensión de la Primera Línea del Metro de Quito desde el Labrador hasta La Ofelia</t>
  </si>
  <si>
    <t>2. Implementar y fortalecer la eficiencia energética y el cambio de formas y conducta de consumo dentro de los límites biofísicos</t>
  </si>
  <si>
    <t>Programa de Soluciones Energéticas Upstream</t>
  </si>
  <si>
    <t>Preparación y Despacho de Gasolinas con Etanol</t>
  </si>
  <si>
    <t>1.Impulsar el desarrollo y consumo de la energía renovable, garantizando accesibilidad y disponibilidad</t>
  </si>
  <si>
    <t>Proyecto Geotérmico Chachimbiro</t>
  </si>
  <si>
    <t>Proyecto Eólico Ducal Membrillo</t>
  </si>
  <si>
    <t>Proyecto Eólico Pimo</t>
  </si>
  <si>
    <t>Central Hidroeléctrica Coca Codo Sinclair</t>
  </si>
  <si>
    <t>Central Hidroeléctrica Manduriacu</t>
  </si>
  <si>
    <t>Central Hidroeléctrica Mazar</t>
  </si>
  <si>
    <t>Central Hidroeléctrica Minas San Francisco</t>
  </si>
  <si>
    <t>Central Hidroeléctrica Sopladora</t>
  </si>
  <si>
    <t>Proyecto Hidroeléctrico Santiago</t>
  </si>
  <si>
    <t>Proyecto hidroeléctrico Cardenillo</t>
  </si>
  <si>
    <t>Proyecto Solar Flotante Mazar</t>
  </si>
  <si>
    <t>Proyecto Hidroeléctrico Delsitanisagua</t>
  </si>
  <si>
    <t>Proyecto Eólico Villonaco</t>
  </si>
  <si>
    <t>Complejo Hidroeléctrico Toachi Pilatón</t>
  </si>
  <si>
    <t>Proyecto Hidroeléctrico Soldados Yanuncay</t>
  </si>
  <si>
    <t>Proyecto Fotovoltaico Huascachaca</t>
  </si>
  <si>
    <t>Sistema Híbrido Isabela (Fase II)</t>
  </si>
  <si>
    <t>Proyecto Conolophus</t>
  </si>
  <si>
    <t>Sistema Solar Fotovoltaico San Cristóbal (Fase II)</t>
  </si>
  <si>
    <t>Isla Floreana 100% Renovable</t>
  </si>
  <si>
    <t>Sistema Eléctrico de Monorriel Intracantonal para la Provincia Guayas</t>
  </si>
  <si>
    <t>Renovación y Descarbonización del Transporte Público y Comercial en el Ecuador</t>
  </si>
  <si>
    <t>Periodo de implementación</t>
  </si>
  <si>
    <t xml:space="preserve">Descripción de la iniciativa </t>
  </si>
  <si>
    <t>2026-2035</t>
  </si>
  <si>
    <t>El proyecto Tranvía de Cuenca constituye un hito de movilidad sostenible en Ecuador y constituye el eje vial principal de la ciudad. Este sistema de tren ligero 100 % eléctrico recorre alrededor de 11 km, integrando el centro histórico, zonas residenciales, comerciales e industriales, y reduciendo la dependencia del vehículo particular, la congestión vial y los tiempos de viaje. Al sustituir desplazamientos en buses y vehículos a combustión , mejora la calidad de aire de la ciudad y reduce las emisiones de gases de efecto invernadero. Asimismo, prioriza un transporte público accesible, inclusivo, seguro y eficiente, movilizando anualmente alrededor de 6 de millones de usuarios.</t>
  </si>
  <si>
    <t>2030-2035</t>
  </si>
  <si>
    <t>El diseño, construcción e implementación de la Línea 2 del Tranvía de Cuenca busca ampliar la cobertura y eficiencia del sistema de movilidad eléctrica existente, fortaleciendo su rol como alternativa sostenible frente al transporte basado en combustibles fósiles. Su operación eléctrica contribuirá a reducir emisiones de contaminantes atmosféricos y gases de efecto invernadero. Asimismo, se impulsa una movilidad más equitativa y se mejora la integración territorial y el bienestar de los habitantes de Cuenca.</t>
  </si>
  <si>
    <t>Se reemplazan unidades que han superado su vida útil por 60 trolebuses de tecnología eléctrica. La intervención contribuye a la mitigación del cambio climático mediante el fortalecimiento de un sistema de transporte público eficiente y sin emisiones directas de gases de efecto invernadero. La renovación de la flota permite reducir las emisiones del sector transporte, disminuir el consumo de combustibles fósiles y contribuir a la reducción de contaminantes atmosféricos urbanos. Asimismo, al mejorar la confiabilidad, el confort y el desempeño del servicio, se incentiva la transferencia modal desde el transporte privado hacia el transporte público, promoviendo una movilidad urbana sostenible.</t>
  </si>
  <si>
    <t>El Metro de Quito es un sistema de transporte masivo subterráneo que recorre la ciudad de norte a sur a lo largo de aproximadamente 22 kilómetros, con 15 estaciones y una capacidad estimada para movilizar a más de 350.000 pasajeros diarios. Este proyecto representa una transformación significativa en la movilidad urbana al ofrecer una alternativa rápida, segura y eficiente al transporte tradicional.  Su operación completamente eléctrica contribuye directamente a la reducción de emisiones de gases de efecto invernadero y contaminantes atmosféricos locales, al disminuir el uso de vehículos particulares y buses que funcionan con combustibles fósiles. De esta manera, el Metro de Quito aporta a la mitigación del cambio climático y a la mejora de la calidad del aire en la ciudad, alineándose con los compromisos ambientales del país.</t>
  </si>
  <si>
    <t>2032-2035</t>
  </si>
  <si>
    <t xml:space="preserve">La ampliación del Metro de Quito desde la estación El Labrador hasta La Ofelia contempla un trayecto de 5,4 km con cuatro nuevas estaciones: Bicentenario, Andalucía, Rosario y La Ofelia. Este proyecto, con una inversión estimada de USD 500 millones, busca mejorar la movilidad urbana al reducir los tiempos de viaje de más de dos horas y media a aproximadamente 42 minutos entre el norte y el sur de la ciudad. Además, se espera que incremente la capacidad diaria del sistema en 150.000 pasajeros, beneficiando a más de medio millón de personas. </t>
  </si>
  <si>
    <t xml:space="preserve">El gas asociado, considerado un residuo en la extracción de petróleo es aprovechado para generar energía eléctrica que será distribuida en el Distrito Amazónico, mediante un Sistema Eléctrico Interconectado Petrolero Extendido (SEIP-E). 
A partir de lo descrito, se optimizará el aprovechamiento de combustible fósil (gas asociado) en unidades de generación de electricidad a gas y gas/crudo, máquinas optimizadas para producción de electricidad . Además, se prevé mantener la interconexión con el SNI , lo que permitirá desplazar la utilización de diésel para la producción de energía eléctrica (combustible importado y subsidiado por el Estado), disminuir el consumo de crudo para generación eléctrica y, con la interconexión a la energía hidroeléctrica del SNI, obtener energía limpia y eficiente en todos los campos de producción del distrito Amazónico. </t>
  </si>
  <si>
    <t>La EP PETROECUADOR en cumplimiento al Decreto Ejecutivo No. 675, publicado en el Registro Oficial No. 512, de 01 de junio de 2015, así como también, alineada a la política de mejoramiento de calidad de combustibles del Gobierno Nacional, desde el 2020 desarrolló el plan para la introducción de la gasolina con etanol (Ecopaís de 85 octanos), el cual contempla la construcción de infraestructura para recepción y almacenamiento de alcohol, adecuación de islas de carga con sistema de mezclado en línea, montaje de bombas y líneas de alimentación para el alcohol anhidro en las Refinerías Esmeraldas y La Libertad, Terminales Pascuales, La Troncal, Cuenca, La Toma y Barbasquillo.</t>
  </si>
  <si>
    <t>2034-2035</t>
  </si>
  <si>
    <t xml:space="preserve">El Proyecto Geotérmico Chachimbiro, ubicado en Urcuquí, Imbabura, es la primera central geotérmica del Ecuador, con una capacidad proyectada de 50 MW. Desarrollado por CELEC EP con financiamiento de la JICA, este proyecto aprovecha el calor del subsuelo para generar electricidad de forma continua y libre de emisiones directas. Al diversificar la matriz energética con una fuente renovable y estable, contribuye significativamente a la reducción de gases de efecto invernadero y al cumplimiento de los compromisos climáticos del país. </t>
  </si>
  <si>
    <t>2029-2035</t>
  </si>
  <si>
    <t xml:space="preserve">El proyecto eólico Ducal Membrillo, ubicado en los cerros Ducal y Membrillo en Loja, Ecuador, contempla la instalación de 29 aerogeneradores con una capacidad total de 80,5 MW, capaces de generar entre 315 GWh anuales. Al producir electricidad a partir del viento, una fuente limpia y renovable, este parque eólico reduce significativamente las emisiones de gases de efecto invernadero, contribuyendo así a la mitigación del cambio climático y al fortalecimiento de una matriz energética más sostenible en el país. </t>
  </si>
  <si>
    <t>El Proyecto Eólico El Pimo, ubicado en las comunidades de Pimo y Can Can, en la provincia del Azuay, Ecuador, tiene como objetivo instalar una capacidad de generación eléctrica de 150 MW, con la posibilidad de expandirse a 200 MW, es parque eólico de 35 aerogeneradores de 4.3 MW, este proyecto contribuirá significativamente a la reducción de emisiones de gases de efecto invernadero al generar energía limpia y renovable. Esto apoyará los compromisos climáticos de Ecuador y promoverá una transición hacia una matriz energética más sostenible, se desarrollará en una zona de páramo a 3800 metros sobre el nivel del mar.</t>
  </si>
  <si>
    <t>La Central Hidroeléctrica Coca Codo Sinclair, ubicada en las provincias de Napo y Sucumbíos, es la mayor planta energética de Ecuador, con una capacidad instalada de 1500 MW. Desde su entrada en operación en 2016, ha generado más de 50000 GWh de energía limpia, representando entre el 25% y 30% de la producción eléctrica nacional . Al reemplazar fuentes térmicas, ha contribuido significativamente a la reducción de emisiones de gases de efecto invernadero, apoyando los compromisos climáticos del país y promoviendo una matriz energética más sostenible .</t>
  </si>
  <si>
    <t>La Central Hidroeléctrica Manduriacu, ubicada entre las provincias de Pichincha e Imbabura, tiene una capacidad instalada de 65 MW y genera anualmente aproximadamente 397,5 GWh de energía limpia. Desde su entrada en operación en 2015, ha contribuido a reducir las emisiones de CO₂ en alrededor de 140.000 toneladas por año al reemplazar fuentes térmicas, fortaleciendo así la matriz energética sostenible de Ecuador y apoyando sus compromisos climáticos.</t>
  </si>
  <si>
    <t>La Central Hidroeléctrica Mazar con una capacidad de 170 MW está en el límite entre Azuay y Cañar. La central aporta a cubrir  la demanda de energía al Sistema Nacional Interconectado (SNI). El embalse es formado por la presa de tipo enrocado con pantalla de hormigón de 166 metros de altura y 340 metros de longitud. La cola de dicho embalse llega hasta en el sector de Chicti, cerca del límite entre los cantones Paute y Guachapala, desde de donde se observa una extensa reserva de agua (espejo) de 31 kilómetros de extensión y que acumula un volumen total de 410 millones de metros cúbicos del líquido vital.</t>
  </si>
  <si>
    <t>La Central Hidroeléctrica Minas San Francisco cuenta con una potencia instalada de 270 MW  y genera anualmente alrededor de 1.290 GWh de energía limpia. La Central Hidroeléctrica inicio su construcción en marzo de 2012 y fue inaugurada el 15 de enero 2019. Central que aprovecha el potencial del Río Jubones, con un caudal medio anual de 48.26 m3/s aprovechable para su generación hidroeléctrica. Minas San Francisco está conformado por una presa de tipo gravedad en hormigón rodillado de 54 m de altura que genera un embalse de regulación y control, una obra de toma ubicada en la margen derecha del río Jubones que conecta con el túnel de conducción de 13.9 km de longitud. Desde su entrada en operación, ha contribuido significativamente a la reducción de emisiones de gases de efecto invernadero, evitando aproximadamente 690000 toneladas de CO₂ al año.</t>
  </si>
  <si>
    <t>La Central Hidroeléctrica Sopladora de 487 MW de potencia es la tercera central del complejo Hidroeléctrico del Río Paute, capta las aguas turbinadas de la Central Molino. La Central Hidroeléctrica Sopladora aporta al cambio de la Matriz Energética, objetivo fundamental para el desarrollo sustentable del país. Conformada por una conexión directa entre los túneles de descarga de la Central Molino y el sistema de carga de la Central Sopladora. La conexión directa consta de un túnel de derivación de flujo que comunica con dos túneles de descarga hacia una cámara de interconexión subterránea que proveerá el volumen necesario para garantizar el ingreso de 150 m3/seg para el funcionamiento del sistema de generación que consta de tres 3 turbinas Francis de 165.24 MW, alojadas en la casa de máquinas subterránea.</t>
  </si>
  <si>
    <t>El Proyecto Hidroeléctrico Santiago se compone de una presa de arco-gravedad de Hormigón Compactado con Rodillo –HCR-, obra de excedencia y desagüe de fondo en el mismo cuerpo de la presa, obra de desvío, obra de generación y obras viales. Consta de una primera etapa con 8 grupos y potencia total aproximada de 2 400 MW, y una segunda etapa de construcción con 4 grupos más, llevando la potencia total a los aproximadamente 3 600 MW y una generación anual estimada de 15.050 GWh en su máxima capacidad.</t>
  </si>
  <si>
    <t xml:space="preserve">El Proyecto Hidroeléctrico Cardenillo está ubicado aguas abajo de la central Sopladora, y sus estudios definitivos determinan que tendrá una capacidad instalada de 595,60 MW (divididos en 588,31 MW de la central en bornes y 7,34 MW de una pequeña central ubicada en el pie de la presa). </t>
  </si>
  <si>
    <t>El Proyecto Fotovoltaico Flotante Mazar, desarrollado por CELEC EP, se ubicará sobre el embalse de la Central Hidroeléctrica Mazar, en las provincias de Azuay y Cañar. Con una capacidad instalada de 201 MWp y una generación anual estimada de 292 GWh/año, este innovador sistema aprovechará 264 hectáreas del espejo de agua sin requerir nuevos terrenos. Al integrar energía solar con la infraestructura hidroeléctrica existente, permitirá optimizar la gestión del embalse y reducir la dependencia de fuentes fósiles, contribuyendo significativamente a la mitigación del cambio climático y fortaleciendo la matriz energética sostenible del Ecuador.</t>
  </si>
  <si>
    <t>La Central Hidroeléctrica Delsitanisagua, ubicada en la provincia de Zamora Chinchipe, Ecuador, cuenta con una capacidad instalada de 180 MW y una generación anual estimada de 1.411 GWh de energía limpia. Desde su entrada en operación en 2018, ha contribuido significativamente a la reducción de emisiones de gases de efecto invernadero, evitando aproximadamente 716.000 toneladas de CO₂ al año, lo que equivale al consumo de 101 millones de galones de diésel . Este aporte fortalece la matriz energética sostenible del país y respalda sus compromisos en la lucha contra el cambio climático.</t>
  </si>
  <si>
    <t>El Parque Eólico Villonaco, ubicado en la provincia de Loja, Ecuador, es la primera central eólica del país continental y cuenta con 11 aerogeneradores de 1,5 MW cada uno, sumando una capacidad instalada de 16,5 MW. Situado a 2720 metros sobre el nivel del mar, aprovecha vientos promedio de 12,7 m/s para generar aproximadamente 60 GWh anuales de energía limpia. Este proyecto evita la emisión de alrededor de 35270 toneladas de CO₂ al año, al sustituir la generación térmica basada en diésel, contribuyendo así a la mitigación del cambio climático y fortaleciendo la matriz energética sostenible del país.</t>
  </si>
  <si>
    <t xml:space="preserve">El Complejo Hidroeléctrico Toachi Pilatón de 254.40 MW de potencia se encuentra ubicado en las provincias de Pichincha, Santo Domingo de los Tsáchilas y Cotopaxi, cantones Mejía, Santo Domingo de los Tsáchilas y Sigchos. Este Complejo Hidroeléctrico aprovecha el potencial de los Ríos Toachi y Pilatón, con un caudal medio anual de 41.30 m3/s y 28.65 m3/s respectivamente, aprovechables para su generación aportando una energía media de 1120 GWh/año.
 </t>
  </si>
  <si>
    <t>2028-2035</t>
  </si>
  <si>
    <t xml:space="preserve">El Proyecto Hidroeléctrico Multipropósito Yanuncay, ubicado en las parroquias Baños y San Joaquín del cantón Cuenca, provincia del Azuay, contará con una capacidad instalada de 22 MW, generando energía limpia para aproximadamente 65.000 hogares. Además de su función energética, el proyecto incluye un embalse de regulación de 21 millones de metros cúbicos que garantizará el suministro de agua potable hasta 2050, proporcionará agua para riego y controlará inundaciones. Al evitar el uso de combustibles fósiles, se estima que reducirá las emisiones de CO₂ en alrededor de 54.000 toneladas anuales, contribuyendo significativamente a la lucha contra el cambio climático y fortaleciendo la matriz energética sostenible del país. </t>
  </si>
  <si>
    <t>El Proyecto Fotovoltaico Huascachaca generará energía eléctrica a partir 27720 paneles fotovoltaicos (705 Wp c/u), ubicado en el cantón Saraguro, parroquia San Sebastían de Yuluc. El estudio de factibilidad del proyecto determina una potencia instalada de 19,59 MW y producción de energía renovable de 26,53 GWh/año. El área a ocupar es de 9 hectáreas, en una zona desertica aledaña al actual Parque Eólico Huascachaca. La energía generada sera evacuada hacia el sistema nacional interconectado, en la subestación La Paz.</t>
  </si>
  <si>
    <t>La Segunda Fase del Sistema Híbrido Isabela, en la isla Isabela (Galápagos), busca ampliar el sistema fotovoltaico y el sistema de almacenamiento de energía en baterías con las siguientes caracteríticas: a) Una planta fotovoltaica de 1.2 MWp de capacidad a instalarse junto a la actual planta solar, b) Un sistema de almacenamiento de energía de 1.000 kWh con baterías Li-ion, c) Equipamiento y sistemas eléctricos relacionados instalados en contenedores.</t>
  </si>
  <si>
    <t>El Proyecto Fotovoltaico Conolophus, ubicado en las islas Baltra y Santa Cruz en Galápagos, contempla la instalación de 14,8 MW de generación solar y un sistema de almacenamiento de 40,9 MWh. Con una inversión de USD 63 millones de capital privado, busca reducir el uso de diésel en la generación eléctrica del archipiélago, evitando la emisión de aproximadamente 16.400 toneladas de CO₂ al año. Este proyecto es parte de la iniciativa “Cero Combustibles Fósiles en Galápagos” y contribuirá a que hasta el 70% de la energía consumida en las islas provenga de fuentes renovables, fortaleciendo así la matriz energética sostenible del país.</t>
  </si>
  <si>
    <t>La Segunda Fase del Sistema Solar Fotovoltaico San Cristóbal, en las Islas Galápagos, contempla la ampliación del sistema fotovoltaico y del sistema de almacenamiento de energía en baterías con las siguientes características: a) Una planta fotovoltaica de 2.26 MWp de capacidad a instalarse junto a la actual planta solar, b) Un sistema de almacenamiento de energía de 2.0 MW/6.6 MWh con baterías Li-ion. Con una inversión aproximada de USD 8,5 millones, este proyecto busca reducir el consumo de diésel en 520.000 galones anuales y evitar la emisión de alrededor de 3.300 toneladas de CO₂ al año. Esta iniciativa fortalece la transición energética del archipiélago hacia fuentes renovables, contribuyendo significativamente a la mitigación del cambio climático y a la conservación del ecosistema único de Galápagos.</t>
  </si>
  <si>
    <t>El proyecto "Isla Floreana 100% Renovable" busca convertir a esta isla del archipiélago de Galápagos en la primera del Ecuador en operar completamente con energía limpia. Con una inversión estimada de USD 4 millones, se instalarán sistemas fotovoltaicos y de almacenamiento energético que reemplazarán el consumo anual de más de 31.000 galones de diésel. Esta transición reducirá significativamente las emisiones de CO₂, contribuyendo a la mitigación del cambio climático y fortaleciendo la matriz energética sostenible del país. La ampliación del sistema fotovoltaico y del sistema de almacenamiento de energía en baterías consdiera lo siguiente: a) Una planta fotovoltaica de 226 kWp de capacidad a instalarse junto a la actual planta solar, b) Un sistema de almacenamiento de energía de 250 kW/1,0 MWh con baterías Li-ion, c) Equipamiento y sistemas eléctricos relacionados instalados en contenedores.</t>
  </si>
  <si>
    <t>El acelerado crecimiento poblacional en la provincia de Guayas plantea nuevos desafíos para el sistema de transporte, que debe adaptarse a una demanda cada vez mayor, garantizando no solo la eficiencia, sino también la sostenibilidad en el largo plazo. En este contexto, es fundamental el desarrollo de un modelo de transporte intracantonal que optimice los recursos disponibles, reduzca la congestión y minimice el impacto ambiental.</t>
  </si>
  <si>
    <t xml:space="preserve">El proyecto de Renovación y Descarbonización busca renovar Vehículos de Combustión Interna (VCI) por Vehículos Eléctricos (VE) por cumplir su Tiempo de Vida Útil (TVU) del Transporte Público y Comercial en el Ecuador. </t>
  </si>
  <si>
    <t>GEI cuantificado  para la reducción de emisiones</t>
  </si>
  <si>
    <t>CO2</t>
  </si>
  <si>
    <t>CO2/CH4/N20</t>
  </si>
  <si>
    <t xml:space="preserve">Tipo de escenario </t>
  </si>
  <si>
    <t>Nombre del indicador y unidad de medida</t>
  </si>
  <si>
    <t>Incondicional</t>
  </si>
  <si>
    <t>Emisiones reducidas de CO2-eq por año (GgCO2-eq / ktCO2-eq)</t>
  </si>
  <si>
    <t xml:space="preserve">Condicional </t>
  </si>
  <si>
    <t>Nombre del dato de actividad</t>
  </si>
  <si>
    <t>Número de Viajes validados anuales</t>
  </si>
  <si>
    <t>Energía consumida anualmente por las unidades introducidas</t>
  </si>
  <si>
    <t>Cantidad de energía eléctrica generada anual</t>
  </si>
  <si>
    <t xml:space="preserve">Preparación total nacional de gasolinas con etanol (Ecopaís 85)
</t>
  </si>
  <si>
    <t>Transferencia de usuarios de métodos de transporte convencionales a hidrocarburos al subsistema de transporte Sistema Eléctrico de Monorriel (# de viajes).</t>
  </si>
  <si>
    <t>Sustitución del consumo de galones de diésel y gasolina y consumo de energía eléctrica (balance de energía)</t>
  </si>
  <si>
    <t xml:space="preserve">Potencial de mitigación estimado en últimol año de la implementación de la iniciativa ( ktCO2-eq) </t>
  </si>
  <si>
    <t>Potencial acumulado  (tCO₂eq)</t>
  </si>
  <si>
    <t xml:space="preserve">Potencial de mitigación estimado año a año  ( ktCO2-eq) Nota: Si desean que se modele con un valor promedio, poner el valor promedio del año </t>
  </si>
  <si>
    <t>Estado actual de la medida/proyecto (En ejecución cuando aplique)</t>
  </si>
  <si>
    <t>Fuente de financiamiento prevista o requerida</t>
  </si>
  <si>
    <t>Primera NDC /Segunda NDC</t>
  </si>
  <si>
    <t>OperationalLife (años)</t>
  </si>
  <si>
    <t>FUEL de entrada / commodity de entrada</t>
  </si>
  <si>
    <t>InputActivityRatio</t>
  </si>
  <si>
    <t>FUEL de salida / servicio energético</t>
  </si>
  <si>
    <t>OutputActivityRatio</t>
  </si>
  <si>
    <t>SpecifiedAnnualDemand / servicio anual a cubrir</t>
  </si>
  <si>
    <t>CapacityToActivityUnit</t>
  </si>
  <si>
    <t>Nueva capacidad a instalar / NewCapacity</t>
  </si>
  <si>
    <t>ResidualCapacity</t>
  </si>
  <si>
    <t>TotalAnnualMaxCapacity</t>
  </si>
  <si>
    <t>TotalAnnualMinCapacity</t>
  </si>
  <si>
    <t>TotalAnnualMaxCapacityInvestment</t>
  </si>
  <si>
    <t>TotalAnnualMinCapacityInvestment</t>
  </si>
  <si>
    <t>CapacityFactor</t>
  </si>
  <si>
    <t>AvailabilityFactor</t>
  </si>
  <si>
    <t>TIMESLICE / perfil temporal aplicable</t>
  </si>
  <si>
    <t>CapitalCost</t>
  </si>
  <si>
    <t>FixedCost</t>
  </si>
  <si>
    <t>VariableCost</t>
  </si>
  <si>
    <t>FuelCost</t>
  </si>
  <si>
    <t>DiscountRate</t>
  </si>
  <si>
    <t>TotalTechnologyAnnualActivityUpperLimit</t>
  </si>
  <si>
    <t>TotalTechnologyAnnualActivityLowerLimit</t>
  </si>
  <si>
    <t>TotalTechnologyModelPeriodActivityUpperLimit</t>
  </si>
  <si>
    <t>TotalTechnologyModelPeriodActivityLowerLimit</t>
  </si>
  <si>
    <t>StorageCapacity (MWh) si aplica</t>
  </si>
  <si>
    <t>StoragePower (MW) si aplica</t>
  </si>
  <si>
    <t>Eficiencia carga/descarga almacenamiento (%) si aplica</t>
  </si>
  <si>
    <t>EmissionActivityRatio CO2, unidades</t>
  </si>
  <si>
    <t>EmissionActivityRatio CH4, unidades</t>
  </si>
  <si>
    <t>EmissionActivityRatio N2O, unidades</t>
  </si>
  <si>
    <t xml:space="preserve">Unidad de capacidad </t>
  </si>
  <si>
    <t>Unidad demanda o actividad /año</t>
  </si>
  <si>
    <t>Factible para ejecución (Si/No)</t>
  </si>
  <si>
    <t>Observaciones (Si los valores cambian año a año poner una pestaña año a año los valores)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</si>
</sst>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6"/>
      <color theme="1"/>
      <name val="Cambria"/>
      <family val="1"/>
    </font>
    <font>
      <sz val="5"/>
      <color theme="1"/>
      <name val="Cambria"/>
      <family val="1"/>
    </font>
    <font>
      <b/>
      <sz val="11"/>
      <color rgb="FFFFFFFF"/>
      <name val="Aptos Narrow"/>
      <family val="2"/>
    </font>
  </fonts>
  <fills count="6">
    <fill>
      <patternFill patternType="none"/>
    </fill>
    <fill>
      <patternFill patternType="gray125"/>
    </fill>
    <fill>
      <patternFill patternType="solid">
        <fgColor theme="4" tint="0.39997558519241921"/>
        <bgColor indexed="64"/>
      </patternFill>
    </fill>
    <fill>
      <patternFill patternType="solid">
        <fgColor theme="3" tint="0.89999084444715716"/>
        <bgColor indexed="64"/>
      </patternFill>
    </fill>
    <fill>
      <patternFill patternType="solid">
        <fgColor theme="0"/>
        <bgColor indexed="64"/>
      </patternFill>
    </fill>
    <fill>
      <patternFill patternType="solid">
        <fgColor rgb="FF0F6B5F"/>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4" borderId="1" xfId="0" applyFont="1" applyFill="1" applyBorder="1" applyAlignment="1">
      <alignment horizontal="center" vertical="center" wrapText="1"/>
    </xf>
    <xf numFmtId="4" fontId="1" fillId="4" borderId="1" xfId="0" applyNumberFormat="1" applyFont="1" applyFill="1" applyBorder="1" applyAlignment="1">
      <alignment horizontal="center" vertical="center" wrapText="1"/>
    </xf>
    <xf numFmtId="2" fontId="1" fillId="4" borderId="1" xfId="0" applyNumberFormat="1" applyFont="1" applyFill="1" applyBorder="1" applyAlignment="1">
      <alignment horizontal="center" vertical="center" wrapText="1"/>
    </xf>
    <xf numFmtId="2" fontId="1" fillId="4" borderId="0" xfId="0" applyNumberFormat="1" applyFont="1" applyFill="1" applyBorder="1" applyAlignment="1">
      <alignment horizontal="center" vertical="center" wrapText="1"/>
    </xf>
    <xf numFmtId="4" fontId="1" fillId="4" borderId="0" xfId="0" applyNumberFormat="1" applyFont="1" applyFill="1" applyBorder="1" applyAlignment="1">
      <alignment horizontal="center" vertical="center" wrapText="1"/>
    </xf>
    <xf numFmtId="0" fontId="3" fillId="5"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FFFE7-D7C4-4C91-A884-79D5F6D82C75}">
  <dimension ref="A1:AZ30"/>
  <sheetViews>
    <sheetView tabSelected="1" topLeftCell="AN1" workbookViewId="0">
      <selection activeCell="AZ1" sqref="AZ1"/>
    </sheetView>
  </sheetViews>
  <sheetFormatPr baseColWidth="10" defaultRowHeight="14.4" x14ac:dyDescent="0.3"/>
  <sheetData>
    <row r="1" spans="1:52" ht="201.6" x14ac:dyDescent="0.3">
      <c r="A1" s="1" t="s">
        <v>0</v>
      </c>
      <c r="B1" s="2" t="s">
        <v>1</v>
      </c>
      <c r="C1" s="4" t="s">
        <v>40</v>
      </c>
      <c r="D1" s="4" t="s">
        <v>41</v>
      </c>
      <c r="E1" s="4" t="s">
        <v>42</v>
      </c>
      <c r="F1" s="4" t="s">
        <v>76</v>
      </c>
      <c r="G1" s="5" t="s">
        <v>77</v>
      </c>
      <c r="H1" s="4" t="s">
        <v>113</v>
      </c>
      <c r="I1" s="4" t="s">
        <v>116</v>
      </c>
      <c r="J1" s="4" t="s">
        <v>117</v>
      </c>
      <c r="K1" s="4" t="s">
        <v>121</v>
      </c>
      <c r="L1" s="4" t="s">
        <v>128</v>
      </c>
      <c r="M1" s="11" t="s">
        <v>133</v>
      </c>
      <c r="N1" s="11" t="s">
        <v>131</v>
      </c>
      <c r="O1" s="11" t="s">
        <v>130</v>
      </c>
      <c r="P1" s="11" t="s">
        <v>129</v>
      </c>
      <c r="Q1" s="11" t="s">
        <v>134</v>
      </c>
      <c r="R1" s="11" t="s">
        <v>135</v>
      </c>
      <c r="S1" s="11" t="s">
        <v>136</v>
      </c>
      <c r="T1" s="11" t="s">
        <v>137</v>
      </c>
      <c r="U1" s="11" t="s">
        <v>138</v>
      </c>
      <c r="V1" s="11" t="s">
        <v>139</v>
      </c>
      <c r="W1" s="11" t="s">
        <v>166</v>
      </c>
      <c r="X1" s="11" t="s">
        <v>141</v>
      </c>
      <c r="Y1" s="11" t="s">
        <v>165</v>
      </c>
      <c r="Z1" s="11" t="s">
        <v>140</v>
      </c>
      <c r="AA1" s="11" t="s">
        <v>142</v>
      </c>
      <c r="AB1" s="11" t="s">
        <v>143</v>
      </c>
      <c r="AC1" s="11" t="s">
        <v>144</v>
      </c>
      <c r="AD1" s="11" t="s">
        <v>145</v>
      </c>
      <c r="AE1" s="11" t="s">
        <v>146</v>
      </c>
      <c r="AF1" s="11" t="s">
        <v>147</v>
      </c>
      <c r="AG1" s="11" t="s">
        <v>148</v>
      </c>
      <c r="AH1" s="11" t="s">
        <v>149</v>
      </c>
      <c r="AI1" s="11" t="s">
        <v>162</v>
      </c>
      <c r="AJ1" s="11" t="s">
        <v>163</v>
      </c>
      <c r="AK1" s="11" t="s">
        <v>164</v>
      </c>
      <c r="AL1" s="11" t="s">
        <v>150</v>
      </c>
      <c r="AM1" s="11" t="s">
        <v>151</v>
      </c>
      <c r="AN1" s="11" t="s">
        <v>152</v>
      </c>
      <c r="AO1" s="11" t="s">
        <v>153</v>
      </c>
      <c r="AP1" s="11" t="s">
        <v>154</v>
      </c>
      <c r="AQ1" s="11" t="s">
        <v>155</v>
      </c>
      <c r="AR1" s="11" t="s">
        <v>156</v>
      </c>
      <c r="AS1" s="11" t="s">
        <v>157</v>
      </c>
      <c r="AT1" s="11" t="s">
        <v>158</v>
      </c>
      <c r="AU1" s="11" t="s">
        <v>159</v>
      </c>
      <c r="AV1" s="11" t="s">
        <v>160</v>
      </c>
      <c r="AW1" s="11" t="s">
        <v>161</v>
      </c>
      <c r="AX1" s="11" t="s">
        <v>132</v>
      </c>
      <c r="AY1" s="11" t="s">
        <v>167</v>
      </c>
      <c r="AZ1" s="11" t="s">
        <v>168</v>
      </c>
    </row>
    <row r="2" spans="1:52" ht="191.4" x14ac:dyDescent="0.3">
      <c r="A2" s="3" t="s">
        <v>2</v>
      </c>
      <c r="B2" s="3" t="s">
        <v>3</v>
      </c>
      <c r="C2" s="3" t="s">
        <v>43</v>
      </c>
      <c r="D2" s="3" t="s">
        <v>44</v>
      </c>
      <c r="E2" s="3" t="s">
        <v>45</v>
      </c>
      <c r="F2" s="3" t="s">
        <v>78</v>
      </c>
      <c r="G2" s="6" t="s">
        <v>79</v>
      </c>
      <c r="H2" s="3" t="s">
        <v>114</v>
      </c>
      <c r="I2" s="3" t="s">
        <v>118</v>
      </c>
      <c r="J2" s="3" t="s">
        <v>119</v>
      </c>
      <c r="K2" s="3" t="s">
        <v>122</v>
      </c>
      <c r="L2" s="8">
        <v>15</v>
      </c>
      <c r="M2" s="9"/>
      <c r="N2" s="9"/>
    </row>
    <row r="3" spans="1:52" ht="145.19999999999999" x14ac:dyDescent="0.3">
      <c r="A3" s="3" t="s">
        <v>4</v>
      </c>
      <c r="B3" s="3" t="s">
        <v>3</v>
      </c>
      <c r="C3" s="3" t="s">
        <v>43</v>
      </c>
      <c r="D3" s="3" t="s">
        <v>44</v>
      </c>
      <c r="E3" s="3" t="s">
        <v>46</v>
      </c>
      <c r="F3" s="3" t="s">
        <v>80</v>
      </c>
      <c r="G3" s="6" t="s">
        <v>81</v>
      </c>
      <c r="H3" s="3" t="s">
        <v>114</v>
      </c>
      <c r="I3" s="3" t="s">
        <v>120</v>
      </c>
      <c r="J3" s="3" t="s">
        <v>119</v>
      </c>
      <c r="K3" s="3" t="s">
        <v>122</v>
      </c>
      <c r="L3" s="8">
        <v>8</v>
      </c>
      <c r="M3" s="9"/>
      <c r="N3" s="9"/>
    </row>
    <row r="4" spans="1:52" ht="198" x14ac:dyDescent="0.3">
      <c r="A4" s="3" t="s">
        <v>5</v>
      </c>
      <c r="B4" s="3" t="s">
        <v>6</v>
      </c>
      <c r="C4" s="3" t="s">
        <v>43</v>
      </c>
      <c r="D4" s="3" t="s">
        <v>44</v>
      </c>
      <c r="E4" s="3" t="s">
        <v>47</v>
      </c>
      <c r="F4" s="3" t="s">
        <v>78</v>
      </c>
      <c r="G4" s="6" t="s">
        <v>82</v>
      </c>
      <c r="H4" s="3" t="s">
        <v>114</v>
      </c>
      <c r="I4" s="3" t="s">
        <v>118</v>
      </c>
      <c r="J4" s="3" t="s">
        <v>119</v>
      </c>
      <c r="K4" s="3" t="s">
        <v>123</v>
      </c>
      <c r="L4" s="8">
        <v>4.97</v>
      </c>
      <c r="M4" s="9"/>
      <c r="N4" s="9"/>
    </row>
    <row r="5" spans="1:52" ht="244.2" x14ac:dyDescent="0.3">
      <c r="A5" s="3" t="s">
        <v>7</v>
      </c>
      <c r="B5" s="3" t="s">
        <v>8</v>
      </c>
      <c r="C5" s="3" t="s">
        <v>43</v>
      </c>
      <c r="D5" s="3" t="s">
        <v>44</v>
      </c>
      <c r="E5" s="3" t="s">
        <v>48</v>
      </c>
      <c r="F5" s="3" t="s">
        <v>78</v>
      </c>
      <c r="G5" s="6" t="s">
        <v>83</v>
      </c>
      <c r="H5" s="3" t="s">
        <v>114</v>
      </c>
      <c r="I5" s="3" t="s">
        <v>118</v>
      </c>
      <c r="J5" s="3" t="s">
        <v>119</v>
      </c>
      <c r="K5" s="3" t="s">
        <v>122</v>
      </c>
      <c r="L5" s="8">
        <v>60</v>
      </c>
      <c r="M5" s="9"/>
      <c r="N5" s="9"/>
    </row>
    <row r="6" spans="1:52" ht="151.80000000000001" x14ac:dyDescent="0.3">
      <c r="A6" s="3" t="s">
        <v>9</v>
      </c>
      <c r="B6" s="3" t="s">
        <v>8</v>
      </c>
      <c r="C6" s="3" t="s">
        <v>43</v>
      </c>
      <c r="D6" s="3" t="s">
        <v>44</v>
      </c>
      <c r="E6" s="3" t="s">
        <v>49</v>
      </c>
      <c r="F6" s="3" t="s">
        <v>84</v>
      </c>
      <c r="G6" s="6" t="s">
        <v>85</v>
      </c>
      <c r="H6" s="3" t="s">
        <v>114</v>
      </c>
      <c r="I6" s="3" t="s">
        <v>120</v>
      </c>
      <c r="J6" s="3" t="s">
        <v>119</v>
      </c>
      <c r="K6" s="3" t="s">
        <v>122</v>
      </c>
      <c r="L6" s="8">
        <v>16</v>
      </c>
      <c r="M6" s="9"/>
      <c r="N6" s="9"/>
    </row>
    <row r="7" spans="1:52" ht="244.2" x14ac:dyDescent="0.3">
      <c r="A7" s="3" t="s">
        <v>10</v>
      </c>
      <c r="B7" s="3" t="s">
        <v>11</v>
      </c>
      <c r="C7" s="3" t="s">
        <v>43</v>
      </c>
      <c r="D7" s="3" t="s">
        <v>50</v>
      </c>
      <c r="E7" s="3" t="s">
        <v>51</v>
      </c>
      <c r="F7" s="3" t="s">
        <v>78</v>
      </c>
      <c r="G7" s="6" t="s">
        <v>86</v>
      </c>
      <c r="H7" s="3" t="s">
        <v>114</v>
      </c>
      <c r="I7" s="3" t="s">
        <v>118</v>
      </c>
      <c r="J7" s="3" t="s">
        <v>119</v>
      </c>
      <c r="K7" s="3" t="s">
        <v>124</v>
      </c>
      <c r="L7" s="8">
        <v>428.553</v>
      </c>
      <c r="M7" s="9"/>
      <c r="N7" s="9"/>
    </row>
    <row r="8" spans="1:52" ht="198" x14ac:dyDescent="0.3">
      <c r="A8" s="3" t="s">
        <v>12</v>
      </c>
      <c r="B8" s="3" t="s">
        <v>11</v>
      </c>
      <c r="C8" s="3" t="s">
        <v>43</v>
      </c>
      <c r="D8" s="3" t="s">
        <v>50</v>
      </c>
      <c r="E8" s="3" t="s">
        <v>52</v>
      </c>
      <c r="F8" s="3" t="s">
        <v>78</v>
      </c>
      <c r="G8" s="6" t="s">
        <v>87</v>
      </c>
      <c r="H8" s="3" t="s">
        <v>115</v>
      </c>
      <c r="I8" s="3" t="s">
        <v>118</v>
      </c>
      <c r="J8" s="3" t="s">
        <v>119</v>
      </c>
      <c r="K8" s="3" t="s">
        <v>125</v>
      </c>
      <c r="L8" s="8">
        <v>199.06164805761819</v>
      </c>
      <c r="M8" s="9"/>
      <c r="N8" s="9"/>
    </row>
    <row r="9" spans="1:52" ht="158.4" x14ac:dyDescent="0.3">
      <c r="A9" s="3" t="s">
        <v>13</v>
      </c>
      <c r="B9" s="3" t="s">
        <v>14</v>
      </c>
      <c r="C9" s="3" t="s">
        <v>43</v>
      </c>
      <c r="D9" s="3" t="s">
        <v>53</v>
      </c>
      <c r="E9" s="3" t="s">
        <v>54</v>
      </c>
      <c r="F9" s="3" t="s">
        <v>88</v>
      </c>
      <c r="G9" s="6" t="s">
        <v>89</v>
      </c>
      <c r="H9" s="3" t="s">
        <v>114</v>
      </c>
      <c r="I9" s="3" t="s">
        <v>120</v>
      </c>
      <c r="J9" s="3" t="s">
        <v>119</v>
      </c>
      <c r="K9" s="3" t="s">
        <v>124</v>
      </c>
      <c r="L9" s="8">
        <v>192.39</v>
      </c>
      <c r="M9" s="9"/>
      <c r="N9" s="9"/>
    </row>
    <row r="10" spans="1:52" ht="151.80000000000001" x14ac:dyDescent="0.3">
      <c r="A10" s="3" t="s">
        <v>15</v>
      </c>
      <c r="B10" s="3" t="s">
        <v>14</v>
      </c>
      <c r="C10" s="3" t="s">
        <v>43</v>
      </c>
      <c r="D10" s="3" t="s">
        <v>53</v>
      </c>
      <c r="E10" s="3" t="s">
        <v>55</v>
      </c>
      <c r="F10" s="3" t="s">
        <v>90</v>
      </c>
      <c r="G10" s="6" t="s">
        <v>91</v>
      </c>
      <c r="H10" s="3" t="s">
        <v>114</v>
      </c>
      <c r="I10" s="3" t="s">
        <v>120</v>
      </c>
      <c r="J10" s="3" t="s">
        <v>119</v>
      </c>
      <c r="K10" s="3" t="s">
        <v>124</v>
      </c>
      <c r="L10" s="8">
        <v>195.0795</v>
      </c>
      <c r="M10" s="9"/>
      <c r="N10" s="9"/>
    </row>
    <row r="11" spans="1:52" ht="184.8" x14ac:dyDescent="0.3">
      <c r="A11" s="3" t="s">
        <v>16</v>
      </c>
      <c r="B11" s="3" t="s">
        <v>14</v>
      </c>
      <c r="C11" s="3" t="s">
        <v>43</v>
      </c>
      <c r="D11" s="3" t="s">
        <v>53</v>
      </c>
      <c r="E11" s="3" t="s">
        <v>56</v>
      </c>
      <c r="F11" s="3" t="s">
        <v>80</v>
      </c>
      <c r="G11" s="6" t="s">
        <v>92</v>
      </c>
      <c r="H11" s="3" t="s">
        <v>114</v>
      </c>
      <c r="I11" s="3" t="s">
        <v>120</v>
      </c>
      <c r="J11" s="3" t="s">
        <v>119</v>
      </c>
      <c r="K11" s="3" t="s">
        <v>124</v>
      </c>
      <c r="L11" s="8">
        <v>406.88009999999997</v>
      </c>
      <c r="M11" s="9"/>
      <c r="N11" s="9"/>
    </row>
    <row r="12" spans="1:52" ht="165" x14ac:dyDescent="0.3">
      <c r="A12" s="3" t="s">
        <v>17</v>
      </c>
      <c r="B12" s="3" t="s">
        <v>14</v>
      </c>
      <c r="C12" s="3" t="s">
        <v>43</v>
      </c>
      <c r="D12" s="3" t="s">
        <v>53</v>
      </c>
      <c r="E12" s="3" t="s">
        <v>57</v>
      </c>
      <c r="F12" s="3" t="s">
        <v>78</v>
      </c>
      <c r="G12" s="6" t="s">
        <v>93</v>
      </c>
      <c r="H12" s="3" t="s">
        <v>114</v>
      </c>
      <c r="I12" s="3" t="s">
        <v>118</v>
      </c>
      <c r="J12" s="3" t="s">
        <v>119</v>
      </c>
      <c r="K12" s="3" t="s">
        <v>124</v>
      </c>
      <c r="L12" s="7">
        <v>3927</v>
      </c>
      <c r="M12" s="10"/>
      <c r="N12" s="10"/>
    </row>
    <row r="13" spans="1:52" ht="132" x14ac:dyDescent="0.3">
      <c r="A13" s="3" t="s">
        <v>18</v>
      </c>
      <c r="B13" s="3" t="s">
        <v>14</v>
      </c>
      <c r="C13" s="3" t="s">
        <v>43</v>
      </c>
      <c r="D13" s="3" t="s">
        <v>53</v>
      </c>
      <c r="E13" s="3" t="s">
        <v>58</v>
      </c>
      <c r="F13" s="3" t="s">
        <v>78</v>
      </c>
      <c r="G13" s="6" t="s">
        <v>94</v>
      </c>
      <c r="H13" s="3" t="s">
        <v>114</v>
      </c>
      <c r="I13" s="3" t="s">
        <v>118</v>
      </c>
      <c r="J13" s="3" t="s">
        <v>119</v>
      </c>
      <c r="K13" s="3" t="s">
        <v>124</v>
      </c>
      <c r="L13" s="8">
        <v>168</v>
      </c>
      <c r="M13" s="9"/>
      <c r="N13" s="9"/>
    </row>
    <row r="14" spans="1:52" ht="165" x14ac:dyDescent="0.3">
      <c r="A14" s="3" t="s">
        <v>19</v>
      </c>
      <c r="B14" s="3" t="s">
        <v>14</v>
      </c>
      <c r="C14" s="3" t="s">
        <v>43</v>
      </c>
      <c r="D14" s="3" t="s">
        <v>53</v>
      </c>
      <c r="E14" s="3" t="s">
        <v>59</v>
      </c>
      <c r="F14" s="3" t="s">
        <v>78</v>
      </c>
      <c r="G14" s="6" t="s">
        <v>95</v>
      </c>
      <c r="H14" s="3" t="s">
        <v>114</v>
      </c>
      <c r="I14" s="3" t="s">
        <v>118</v>
      </c>
      <c r="J14" s="3" t="s">
        <v>119</v>
      </c>
      <c r="K14" s="3" t="s">
        <v>124</v>
      </c>
      <c r="L14" s="8">
        <v>255</v>
      </c>
      <c r="M14" s="9"/>
      <c r="N14" s="9"/>
    </row>
    <row r="15" spans="1:52" ht="250.8" x14ac:dyDescent="0.3">
      <c r="A15" s="3" t="s">
        <v>20</v>
      </c>
      <c r="B15" s="3" t="s">
        <v>14</v>
      </c>
      <c r="C15" s="3" t="s">
        <v>43</v>
      </c>
      <c r="D15" s="3" t="s">
        <v>53</v>
      </c>
      <c r="E15" s="3" t="s">
        <v>60</v>
      </c>
      <c r="F15" s="3" t="s">
        <v>78</v>
      </c>
      <c r="G15" s="6" t="s">
        <v>96</v>
      </c>
      <c r="H15" s="3" t="s">
        <v>114</v>
      </c>
      <c r="I15" s="3" t="s">
        <v>118</v>
      </c>
      <c r="J15" s="3" t="s">
        <v>119</v>
      </c>
      <c r="K15" s="3" t="s">
        <v>124</v>
      </c>
      <c r="L15" s="8">
        <v>529</v>
      </c>
      <c r="M15" s="9"/>
      <c r="N15" s="9"/>
    </row>
    <row r="16" spans="1:52" ht="224.4" x14ac:dyDescent="0.3">
      <c r="A16" s="3" t="s">
        <v>21</v>
      </c>
      <c r="B16" s="3" t="s">
        <v>14</v>
      </c>
      <c r="C16" s="3" t="s">
        <v>43</v>
      </c>
      <c r="D16" s="3" t="s">
        <v>53</v>
      </c>
      <c r="E16" s="3" t="s">
        <v>61</v>
      </c>
      <c r="F16" s="3" t="s">
        <v>78</v>
      </c>
      <c r="G16" s="6" t="s">
        <v>97</v>
      </c>
      <c r="H16" s="3" t="s">
        <v>114</v>
      </c>
      <c r="I16" s="3" t="s">
        <v>118</v>
      </c>
      <c r="J16" s="3" t="s">
        <v>119</v>
      </c>
      <c r="K16" s="3" t="s">
        <v>124</v>
      </c>
      <c r="L16" s="8">
        <v>1150</v>
      </c>
      <c r="M16" s="9"/>
      <c r="N16" s="9"/>
    </row>
    <row r="17" spans="1:14" ht="145.19999999999999" x14ac:dyDescent="0.3">
      <c r="A17" s="3" t="s">
        <v>22</v>
      </c>
      <c r="B17" s="3" t="s">
        <v>14</v>
      </c>
      <c r="C17" s="3" t="s">
        <v>43</v>
      </c>
      <c r="D17" s="3" t="s">
        <v>53</v>
      </c>
      <c r="E17" s="3" t="s">
        <v>62</v>
      </c>
      <c r="F17" s="3" t="s">
        <v>88</v>
      </c>
      <c r="G17" s="6" t="s">
        <v>98</v>
      </c>
      <c r="H17" s="3" t="s">
        <v>114</v>
      </c>
      <c r="I17" s="3" t="s">
        <v>120</v>
      </c>
      <c r="J17" s="3" t="s">
        <v>119</v>
      </c>
      <c r="K17" s="3" t="s">
        <v>124</v>
      </c>
      <c r="L17" s="7">
        <v>7352.8214000000007</v>
      </c>
      <c r="M17" s="10"/>
      <c r="N17" s="10"/>
    </row>
    <row r="18" spans="1:14" ht="79.2" x14ac:dyDescent="0.3">
      <c r="A18" s="3" t="s">
        <v>23</v>
      </c>
      <c r="B18" s="3" t="s">
        <v>14</v>
      </c>
      <c r="C18" s="3" t="s">
        <v>43</v>
      </c>
      <c r="D18" s="3" t="s">
        <v>53</v>
      </c>
      <c r="E18" s="3" t="s">
        <v>63</v>
      </c>
      <c r="F18" s="3" t="s">
        <v>88</v>
      </c>
      <c r="G18" s="6" t="s">
        <v>99</v>
      </c>
      <c r="H18" s="3" t="s">
        <v>114</v>
      </c>
      <c r="I18" s="3" t="s">
        <v>120</v>
      </c>
      <c r="J18" s="3" t="s">
        <v>119</v>
      </c>
      <c r="K18" s="3" t="s">
        <v>124</v>
      </c>
      <c r="L18" s="8">
        <v>1638.6273740000001</v>
      </c>
      <c r="M18" s="9"/>
      <c r="N18" s="9"/>
    </row>
    <row r="19" spans="1:14" ht="191.4" x14ac:dyDescent="0.3">
      <c r="A19" s="3" t="s">
        <v>24</v>
      </c>
      <c r="B19" s="3" t="s">
        <v>14</v>
      </c>
      <c r="C19" s="3" t="s">
        <v>43</v>
      </c>
      <c r="D19" s="3" t="s">
        <v>53</v>
      </c>
      <c r="E19" s="3" t="s">
        <v>64</v>
      </c>
      <c r="F19" s="3" t="s">
        <v>90</v>
      </c>
      <c r="G19" s="6" t="s">
        <v>100</v>
      </c>
      <c r="H19" s="3" t="s">
        <v>114</v>
      </c>
      <c r="I19" s="3" t="s">
        <v>120</v>
      </c>
      <c r="J19" s="3" t="s">
        <v>119</v>
      </c>
      <c r="K19" s="3" t="s">
        <v>124</v>
      </c>
      <c r="L19" s="8">
        <v>180.83559999999997</v>
      </c>
      <c r="M19" s="9"/>
      <c r="N19" s="9"/>
    </row>
    <row r="20" spans="1:14" ht="165" x14ac:dyDescent="0.3">
      <c r="A20" s="3" t="s">
        <v>25</v>
      </c>
      <c r="B20" s="3" t="s">
        <v>14</v>
      </c>
      <c r="C20" s="3" t="s">
        <v>43</v>
      </c>
      <c r="D20" s="3" t="s">
        <v>53</v>
      </c>
      <c r="E20" s="3" t="s">
        <v>65</v>
      </c>
      <c r="F20" s="3" t="s">
        <v>78</v>
      </c>
      <c r="G20" s="6" t="s">
        <v>101</v>
      </c>
      <c r="H20" s="3" t="s">
        <v>114</v>
      </c>
      <c r="I20" s="3" t="s">
        <v>118</v>
      </c>
      <c r="J20" s="3" t="s">
        <v>119</v>
      </c>
      <c r="K20" s="3" t="s">
        <v>124</v>
      </c>
      <c r="L20" s="8">
        <v>369</v>
      </c>
      <c r="M20" s="9"/>
      <c r="N20" s="9"/>
    </row>
    <row r="21" spans="1:14" ht="165" x14ac:dyDescent="0.3">
      <c r="A21" s="3" t="s">
        <v>26</v>
      </c>
      <c r="B21" s="3" t="s">
        <v>14</v>
      </c>
      <c r="C21" s="3" t="s">
        <v>43</v>
      </c>
      <c r="D21" s="3" t="s">
        <v>53</v>
      </c>
      <c r="E21" s="3" t="s">
        <v>66</v>
      </c>
      <c r="F21" s="3" t="s">
        <v>78</v>
      </c>
      <c r="G21" s="6" t="s">
        <v>102</v>
      </c>
      <c r="H21" s="3" t="s">
        <v>114</v>
      </c>
      <c r="I21" s="3" t="s">
        <v>118</v>
      </c>
      <c r="J21" s="3" t="s">
        <v>119</v>
      </c>
      <c r="K21" s="3" t="s">
        <v>124</v>
      </c>
      <c r="L21" s="8">
        <v>37</v>
      </c>
      <c r="M21" s="9"/>
      <c r="N21" s="9"/>
    </row>
    <row r="22" spans="1:14" ht="145.19999999999999" x14ac:dyDescent="0.3">
      <c r="A22" s="3" t="s">
        <v>27</v>
      </c>
      <c r="B22" s="3" t="s">
        <v>14</v>
      </c>
      <c r="C22" s="3" t="s">
        <v>43</v>
      </c>
      <c r="D22" s="3" t="s">
        <v>53</v>
      </c>
      <c r="E22" s="3" t="s">
        <v>67</v>
      </c>
      <c r="F22" s="3" t="s">
        <v>78</v>
      </c>
      <c r="G22" s="6" t="s">
        <v>103</v>
      </c>
      <c r="H22" s="3" t="s">
        <v>114</v>
      </c>
      <c r="I22" s="3" t="s">
        <v>118</v>
      </c>
      <c r="J22" s="3" t="s">
        <v>119</v>
      </c>
      <c r="K22" s="3" t="s">
        <v>124</v>
      </c>
      <c r="L22" s="8">
        <v>537</v>
      </c>
      <c r="M22" s="9"/>
      <c r="N22" s="9"/>
    </row>
    <row r="23" spans="1:14" ht="211.2" x14ac:dyDescent="0.3">
      <c r="A23" s="3" t="s">
        <v>28</v>
      </c>
      <c r="B23" s="3" t="s">
        <v>29</v>
      </c>
      <c r="C23" s="3" t="s">
        <v>43</v>
      </c>
      <c r="D23" s="3" t="s">
        <v>53</v>
      </c>
      <c r="E23" s="3" t="s">
        <v>68</v>
      </c>
      <c r="F23" s="3" t="s">
        <v>104</v>
      </c>
      <c r="G23" s="6" t="s">
        <v>105</v>
      </c>
      <c r="H23" s="3" t="s">
        <v>114</v>
      </c>
      <c r="I23" s="3" t="s">
        <v>118</v>
      </c>
      <c r="J23" s="3" t="s">
        <v>119</v>
      </c>
      <c r="K23" s="3" t="s">
        <v>124</v>
      </c>
      <c r="L23" s="8">
        <v>58</v>
      </c>
      <c r="M23" s="9"/>
      <c r="N23" s="9"/>
    </row>
    <row r="24" spans="1:14" ht="145.19999999999999" x14ac:dyDescent="0.3">
      <c r="A24" s="3" t="s">
        <v>30</v>
      </c>
      <c r="B24" s="3" t="s">
        <v>29</v>
      </c>
      <c r="C24" s="3" t="s">
        <v>43</v>
      </c>
      <c r="D24" s="3" t="s">
        <v>53</v>
      </c>
      <c r="E24" s="3" t="s">
        <v>69</v>
      </c>
      <c r="F24" s="3" t="s">
        <v>78</v>
      </c>
      <c r="G24" s="6" t="s">
        <v>106</v>
      </c>
      <c r="H24" s="3" t="s">
        <v>114</v>
      </c>
      <c r="I24" s="3" t="s">
        <v>120</v>
      </c>
      <c r="J24" s="3" t="s">
        <v>119</v>
      </c>
      <c r="K24" s="3" t="s">
        <v>124</v>
      </c>
      <c r="L24" s="7">
        <v>16</v>
      </c>
      <c r="M24" s="10"/>
      <c r="N24" s="10"/>
    </row>
    <row r="25" spans="1:14" ht="125.4" x14ac:dyDescent="0.3">
      <c r="A25" s="3" t="s">
        <v>31</v>
      </c>
      <c r="B25" s="3" t="s">
        <v>32</v>
      </c>
      <c r="C25" s="3" t="s">
        <v>43</v>
      </c>
      <c r="D25" s="3" t="s">
        <v>53</v>
      </c>
      <c r="E25" s="3" t="s">
        <v>70</v>
      </c>
      <c r="F25" s="3" t="s">
        <v>104</v>
      </c>
      <c r="G25" s="6" t="s">
        <v>107</v>
      </c>
      <c r="H25" s="3" t="s">
        <v>114</v>
      </c>
      <c r="I25" s="3" t="s">
        <v>118</v>
      </c>
      <c r="J25" s="3" t="s">
        <v>119</v>
      </c>
      <c r="K25" s="3" t="s">
        <v>124</v>
      </c>
      <c r="L25" s="8">
        <v>1.34</v>
      </c>
      <c r="M25" s="9"/>
      <c r="N25" s="9"/>
    </row>
    <row r="26" spans="1:14" ht="178.2" x14ac:dyDescent="0.3">
      <c r="A26" s="3" t="s">
        <v>33</v>
      </c>
      <c r="B26" s="3" t="s">
        <v>34</v>
      </c>
      <c r="C26" s="3" t="s">
        <v>43</v>
      </c>
      <c r="D26" s="3" t="s">
        <v>53</v>
      </c>
      <c r="E26" s="3" t="s">
        <v>71</v>
      </c>
      <c r="F26" s="3" t="s">
        <v>90</v>
      </c>
      <c r="G26" s="6" t="s">
        <v>108</v>
      </c>
      <c r="H26" s="3" t="s">
        <v>114</v>
      </c>
      <c r="I26" s="3" t="s">
        <v>118</v>
      </c>
      <c r="J26" s="3" t="s">
        <v>119</v>
      </c>
      <c r="K26" s="3" t="s">
        <v>124</v>
      </c>
      <c r="L26" s="8">
        <v>17.78</v>
      </c>
      <c r="M26" s="9"/>
      <c r="N26" s="9"/>
    </row>
    <row r="27" spans="1:14" ht="237.6" x14ac:dyDescent="0.3">
      <c r="A27" s="3" t="s">
        <v>35</v>
      </c>
      <c r="B27" s="3" t="s">
        <v>32</v>
      </c>
      <c r="C27" s="3" t="s">
        <v>43</v>
      </c>
      <c r="D27" s="3" t="s">
        <v>53</v>
      </c>
      <c r="E27" s="3" t="s">
        <v>72</v>
      </c>
      <c r="F27" s="3" t="s">
        <v>90</v>
      </c>
      <c r="G27" s="6" t="s">
        <v>109</v>
      </c>
      <c r="H27" s="3" t="s">
        <v>114</v>
      </c>
      <c r="I27" s="3" t="s">
        <v>120</v>
      </c>
      <c r="J27" s="3" t="s">
        <v>119</v>
      </c>
      <c r="K27" s="3" t="s">
        <v>124</v>
      </c>
      <c r="L27" s="8">
        <v>3.57</v>
      </c>
      <c r="M27" s="9"/>
      <c r="N27" s="9"/>
    </row>
    <row r="28" spans="1:14" ht="257.39999999999998" x14ac:dyDescent="0.3">
      <c r="A28" s="3" t="s">
        <v>36</v>
      </c>
      <c r="B28" s="3" t="s">
        <v>32</v>
      </c>
      <c r="C28" s="3" t="s">
        <v>43</v>
      </c>
      <c r="D28" s="3" t="s">
        <v>53</v>
      </c>
      <c r="E28" s="3" t="s">
        <v>73</v>
      </c>
      <c r="F28" s="3" t="s">
        <v>104</v>
      </c>
      <c r="G28" s="6" t="s">
        <v>110</v>
      </c>
      <c r="H28" s="3" t="s">
        <v>114</v>
      </c>
      <c r="I28" s="3" t="s">
        <v>120</v>
      </c>
      <c r="J28" s="3" t="s">
        <v>119</v>
      </c>
      <c r="K28" s="3" t="s">
        <v>124</v>
      </c>
      <c r="L28" s="8">
        <v>0.28999999999999998</v>
      </c>
      <c r="M28" s="9"/>
      <c r="N28" s="9"/>
    </row>
    <row r="29" spans="1:14" ht="118.8" x14ac:dyDescent="0.3">
      <c r="A29" s="3" t="s">
        <v>37</v>
      </c>
      <c r="B29" s="3" t="s">
        <v>38</v>
      </c>
      <c r="C29" s="3" t="s">
        <v>43</v>
      </c>
      <c r="D29" s="3" t="s">
        <v>44</v>
      </c>
      <c r="E29" s="3" t="s">
        <v>74</v>
      </c>
      <c r="F29" s="3" t="s">
        <v>80</v>
      </c>
      <c r="G29" s="6" t="s">
        <v>111</v>
      </c>
      <c r="H29" s="3" t="s">
        <v>114</v>
      </c>
      <c r="I29" s="3" t="s">
        <v>120</v>
      </c>
      <c r="J29" s="3" t="s">
        <v>119</v>
      </c>
      <c r="K29" s="3" t="s">
        <v>126</v>
      </c>
      <c r="L29" s="8">
        <v>42.78</v>
      </c>
      <c r="M29" s="9"/>
      <c r="N29" s="9"/>
    </row>
    <row r="30" spans="1:14" ht="59.4" x14ac:dyDescent="0.3">
      <c r="A30" s="3" t="s">
        <v>39</v>
      </c>
      <c r="B30" s="3" t="s">
        <v>38</v>
      </c>
      <c r="C30" s="3" t="s">
        <v>43</v>
      </c>
      <c r="D30" s="3" t="s">
        <v>44</v>
      </c>
      <c r="E30" s="3" t="s">
        <v>75</v>
      </c>
      <c r="F30" s="3" t="s">
        <v>78</v>
      </c>
      <c r="G30" s="6" t="s">
        <v>112</v>
      </c>
      <c r="H30" s="3" t="s">
        <v>114</v>
      </c>
      <c r="I30" s="3" t="s">
        <v>120</v>
      </c>
      <c r="J30" s="3" t="s">
        <v>119</v>
      </c>
      <c r="K30" s="3" t="s">
        <v>127</v>
      </c>
      <c r="L30" s="8">
        <v>185</v>
      </c>
      <c r="M30" s="9"/>
      <c r="N30" s="9"/>
    </row>
  </sheetData>
  <dataValidations count="2">
    <dataValidation type="list" allowBlank="1" showInputMessage="1" showErrorMessage="1" sqref="D2:D9 D16:D30" xr:uid="{CC498BA2-9820-49C5-99F5-34726BCD9B8D}">
      <formula1>INDIRECT($J2)</formula1>
    </dataValidation>
    <dataValidation type="list" allowBlank="1" showInputMessage="1" showErrorMessage="1" sqref="D10:D15" xr:uid="{C8FE760F-6F33-4477-B02C-1B0A1F177407}">
      <formula1>INDIRECT($K10)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INICIATIVAS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Ministerio de Ambiente y Energía</dc:creator>
  <cp:lastModifiedBy>Ministerio de Ambiente y Energía</cp:lastModifiedBy>
  <dcterms:created xsi:type="dcterms:W3CDTF">2026-06-26T19:30:55Z</dcterms:created>
  <dcterms:modified xsi:type="dcterms:W3CDTF">2026-06-27T23:28:30Z</dcterms:modified>
</cp:coreProperties>
</file>